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91b8f23ef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指标" sheetId="1" r:id="Ra496acf979254141"/>
    <x:sheet xmlns:r="http://schemas.openxmlformats.org/officeDocument/2006/relationships" name="测试案例" sheetId="2" r:id="Rda8c40066b0a4bd4"/>
    <x:sheet xmlns:r="http://schemas.openxmlformats.org/officeDocument/2006/relationships" name="生成内容评测" sheetId="3" r:id="R4fb25b85f128494f"/>
    <x:sheet xmlns:r="http://schemas.openxmlformats.org/officeDocument/2006/relationships" name="用户测试" sheetId="4" r:id="Rafa086359c594009"/>
    <x:sheet xmlns:r="http://schemas.openxmlformats.org/officeDocument/2006/relationships" name="自动化验证" sheetId="5" r:id="R8743efa38deb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"/>
    <x:numFmt numFmtId="202" formatCode="0.0"/>
    <x:numFmt numFmtId="203" formatCode="yyyy-mm-dd"/>
  </x:numFmts>
  <x:fonts count="7">
    <x:font>
      <x:sz val="11"/>
      <x:name val="Carlito"/>
    </x:font>
    <x:font>
      <x:sz val="10"/>
      <x:color rgb="FF20242A"/>
      <x:name val="Calibri"/>
    </x:font>
    <x:font>
      <x:b/>
      <x:sz val="20"/>
      <x:color rgb="FFFFFFFF"/>
      <x:name val="Calibri"/>
    </x:font>
    <x:font>
      <x:sz val="10"/>
      <x:color rgb="FF1F4D78"/>
      <x:name val="Calibri"/>
    </x:font>
    <x:font>
      <x:b/>
      <x:sz val="11"/>
      <x:color rgb="FF1F4D78"/>
      <x:name val="Calibri"/>
    </x:font>
    <x:font>
      <x:b/>
      <x:sz val="10"/>
      <x:color rgb="FF1F4D78"/>
      <x:name val="Calibri"/>
    </x:font>
    <x:font>
      <x:b/>
      <x:sz val="10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</x:fills>
  <x:borders count="2">
    <x:border/>
    <x:border>
      <x:left style="thin">
        <x:color rgb="FFD6DCE4"/>
      </x:left>
      <x:right style="thin">
        <x:color rgb="FFD6DCE4"/>
      </x:right>
      <x:top style="thin">
        <x:color rgb="FFD6DCE4"/>
      </x:top>
      <x:bottom style="thin">
        <x:color rgb="FFD6DCE4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25603A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1dc3b97094fad" /><Relationship Type="http://schemas.openxmlformats.org/officeDocument/2006/relationships/theme" Target="/xl/theme/theme1.xml" Id="R88cf9ab74aa94716" /><Relationship Type="http://schemas.openxmlformats.org/officeDocument/2006/relationships/sharedStrings" Target="/xl/sharedStrings.xml" Id="R6eb37c6ff48f4dad" /><Relationship Type="http://schemas.openxmlformats.org/officeDocument/2006/relationships/worksheet" Target="/xl/worksheets/sheet1.xml" Id="Ra496acf979254141" /><Relationship Type="http://schemas.openxmlformats.org/officeDocument/2006/relationships/worksheet" Target="/xl/worksheets/sheet2.xml" Id="Rda8c40066b0a4bd4" /><Relationship Type="http://schemas.openxmlformats.org/officeDocument/2006/relationships/worksheet" Target="/xl/worksheets/sheet3.xml" Id="R4fb25b85f128494f" /><Relationship Type="http://schemas.openxmlformats.org/officeDocument/2006/relationships/worksheet" Target="/xl/worksheets/sheet4.xml" Id="Rafa086359c594009" /><Relationship Type="http://schemas.openxmlformats.org/officeDocument/2006/relationships/worksheet" Target="/xl/worksheets/sheet5.xml" Id="R8743efa38deb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4.380000114440918" hidden="0" customWidth="1"/>
    <x:col min="3" max="3" width="11.25" hidden="0" customWidth="1"/>
    <x:col min="4" max="4" width="13.75" hidden="0" customWidth="1"/>
    <x:col min="5" max="5" width="43.130001068115234" hidden="0" customWidth="1"/>
  </x:cols>
  <x:sheetData>
    <x:row r="1" ht="31.5" customHeight="1">
      <x:c r="A1" s="26" t="str">
        <x:v>可信经历资料库｜AI评测工作簿</x:v>
      </x:c>
      <x:c r="B1" s="26" t="str">
        <x:v>可信经历资料库｜AI评测工作簿</x:v>
      </x:c>
      <x:c r="C1" s="26" t="str">
        <x:v>可信经历资料库｜AI评测工作簿</x:v>
      </x:c>
      <x:c r="D1" s="26" t="str">
        <x:v>可信经历资料库｜AI评测工作簿</x:v>
      </x:c>
      <x:c r="E1" s="26" t="str">
        <x:v>可信经历资料库｜AI评测工作簿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8" t="str">
        <x:v>本工作簿只预置案例、公式和当前工程验证；真实个人材料、AI输出与用户指标必须在匿名化后录入。空白指标表示尚未评测，不代表0分。</x:v>
      </x:c>
      <x:c r="B2" s="8" t="str">
        <x:v>本工作簿只预置案例、公式和当前工程验证；真实个人材料、AI输出与用户指标必须在匿名化后录入。空白指标表示尚未评测，不代表0分。</x:v>
      </x:c>
      <x:c r="C2" s="8" t="str">
        <x:v>本工作簿只预置案例、公式和当前工程验证；真实个人材料、AI输出与用户指标必须在匿名化后录入。空白指标表示尚未评测，不代表0分。</x:v>
      </x:c>
      <x:c r="D2" s="8" t="str">
        <x:v>本工作簿只预置案例、公式和当前工程验证；真实个人材料、AI输出与用户指标必须在匿名化后录入。空白指标表示尚未评测，不代表0分。</x:v>
      </x:c>
      <x:c r="E2" s="8" t="str">
        <x:v>本工作簿只预置案例、公式和当前工程验证；真实个人材料、AI输出与用户指标必须在匿名化后录入。空白指标表示尚未评测，不代表0分。</x:v>
      </x:c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8" customHeight="1">
      <x:c r="A3" s="27"/>
      <x:c r="B3" s="27"/>
      <x:c r="C3" s="27"/>
      <x:c r="D3" s="27"/>
      <x:c r="E3" s="27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1" customHeight="1">
      <x:c r="A4" s="28" t="str">
        <x:v>使用说明</x:v>
      </x:c>
      <x:c r="B4" s="28" t="str">
        <x:v>使用说明</x:v>
      </x:c>
      <x:c r="C4" s="28" t="str">
        <x:v>使用说明</x:v>
      </x:c>
      <x:c r="D4" s="28" t="str">
        <x:v>使用说明</x:v>
      </x:c>
      <x:c r="E4" s="28" t="str">
        <x:v>使用说明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6" customHeight="1">
      <x:c r="A5" s="16" t="str">
        <x:v>1</x:v>
      </x:c>
      <x:c r="B5" s="13" t="str">
        <x:v>测试案例</x:v>
      </x:c>
      <x:c r="C5" s="13" t="str">
        <x:v>先准备10组匿名资料和完整JD；执行后把状态改为Completed，并记录实际结果与Gate。</x:v>
      </x:c>
      <x:c r="D5" s="13" t="str">
        <x:v>证据来源</x:v>
      </x:c>
      <x:c r="E5" s="13" t="str">
        <x:v>用户提供的问卷、匿名个人材料、真实JD与项目测试日志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6" customHeight="1">
      <x:c r="A6" s="16" t="str">
        <x:v>2</x:v>
      </x:c>
      <x:c r="B6" s="13" t="str">
        <x:v>生成内容评测</x:v>
      </x:c>
      <x:c r="C6" s="13" t="str">
        <x:v>每个案例至少录入3条claim；人工判断事实支持与捏造数量。</x:v>
      </x:c>
      <x:c r="D6" s="13" t="str">
        <x:v>当前自动证据</x:v>
      </x:c>
      <x:c r="E6" s="13" t="str">
        <x:v>后端103 passed；前端44 passed；lint/build通过；OpenAPI 55 paths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6" customHeight="1">
      <x:c r="A7" s="16" t="str">
        <x:v>3</x:v>
      </x:c>
      <x:c r="B7" s="13" t="str">
        <x:v>用户测试</x:v>
      </x:c>
      <x:c r="C7" s="13" t="str">
        <x:v>录入5位用户的基线时间、新流程时间、接受数与信任评分。</x:v>
      </x:c>
      <x:c r="D7" s="13" t="str">
        <x:v>注意</x:v>
      </x:c>
      <x:c r="E7" s="13" t="str">
        <x:v>N=5仅作为探索性证据，不宣称统计显著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8" customHeight="1">
      <x:c r="A8" s="27"/>
      <x:c r="B8" s="27"/>
      <x:c r="C8" s="27"/>
      <x:c r="D8" s="27"/>
      <x:c r="E8" s="27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1" customHeight="1">
      <x:c r="A9" s="28" t="str">
        <x:v>核心指标仪表盘</x:v>
      </x:c>
      <x:c r="B9" s="28" t="str">
        <x:v>核心指标仪表盘</x:v>
      </x:c>
      <x:c r="C9" s="28" t="str">
        <x:v>核心指标仪表盘</x:v>
      </x:c>
      <x:c r="D9" s="28" t="str">
        <x:v>核心指标仪表盘</x:v>
      </x:c>
      <x:c r="E9" s="28" t="str">
        <x:v>核心指标仪表盘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5.5" customHeight="1">
      <x:c r="A10" s="21" t="str">
        <x:v>指标</x:v>
      </x:c>
      <x:c r="B10" s="21" t="str">
        <x:v>当前值</x:v>
      </x:c>
      <x:c r="C10" s="21" t="str">
        <x:v>目标</x:v>
      </x:c>
      <x:c r="D10" s="21" t="str">
        <x:v>状态</x:v>
      </x:c>
      <x:c r="E10" s="21" t="str">
        <x:v>计算口径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8" customHeight="1">
      <x:c r="A11" s="25" t="str">
        <x:v>证据引用覆盖率</x:v>
      </x:c>
      <x:c r="B11" s="22" t="str">
        <x:f>IF(COUNT('生成内容评测'!G4:G33)=0,"",AVERAGE('生成内容评测'!G4:G33))</x:f>
      </x:c>
      <x:c r="C11" s="22" t="n">
        <x:v>1</x:v>
      </x:c>
      <x:c r="D11" s="13" t="str">
        <x:f>IF(B11="","待录入",IF(B11&gt;=C11,"Pass","Fail"))</x:f>
        <x:v>待录入</x:v>
      </x:c>
      <x:c r="E11" s="13" t="str">
        <x:v>有有效卡片引用的claim / 已评claim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8" customHeight="1">
      <x:c r="A12" s="25" t="str">
        <x:v>无效卡片ID拦截率</x:v>
      </x:c>
      <x:c r="B12" s="22" t="str">
        <x:f>IF(COUNTIFS('测试案例'!C4:C13,"Invalid ID",'测试案例'!H4:H13,"Completed")=0,"",COUNTIFS('测试案例'!C4:C13,"Invalid ID",'测试案例'!H4:H13,"Completed",'测试案例'!J4:J13,"Pass")/COUNTIFS('测试案例'!C4:C13,"Invalid ID",'测试案例'!H4:H13,"Completed"))</x:f>
      </x:c>
      <x:c r="C12" s="22" t="n">
        <x:v>1</x:v>
      </x:c>
      <x:c r="D12" s="13" t="str">
        <x:f>IF(B12="","待录入",IF(B12&gt;=C12,"Pass","Fail"))</x:f>
        <x:v>待录入</x:v>
      </x:c>
      <x:c r="E12" s="13" t="str">
        <x:v>正确拒绝的Invalid ID案例 / Invalid ID案例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8" customHeight="1">
      <x:c r="A13" s="25" t="str">
        <x:v>生成内容与证据一致率</x:v>
      </x:c>
      <x:c r="B13" s="22" t="str">
        <x:f>IF(COUNT('生成内容评测'!H4:H33)=0,"",AVERAGE('生成内容评测'!H4:H33))</x:f>
      </x:c>
      <x:c r="C13" s="22" t="n">
        <x:v>0.9</x:v>
      </x:c>
      <x:c r="D13" s="13" t="str">
        <x:f>IF(B13="","待录入",IF(B13&gt;=C13,"Pass","Fail"))</x:f>
        <x:v>待录入</x:v>
      </x:c>
      <x:c r="E13" s="13" t="str">
        <x:v>人工判定被证据充分支持的claim均值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8" customHeight="1">
      <x:c r="A14" s="25" t="str">
        <x:v>明确事实捏造数量</x:v>
      </x:c>
      <x:c r="B14" s="23" t="str">
        <x:f>IF(COUNT('生成内容评测'!I4:I33)=0,"",SUM('生成内容评测'!I4:I33))</x:f>
      </x:c>
      <x:c r="C14" s="23" t="n">
        <x:v>0</x:v>
      </x:c>
      <x:c r="D14" s="13" t="str">
        <x:f>IF(B14="","待录入",IF(B14&lt;=C14,"Pass","Fail"))</x:f>
        <x:v>待录入</x:v>
      </x:c>
      <x:c r="E14" s="13" t="str">
        <x:v>无证据支持的新增可查事实总数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8" customHeight="1">
      <x:c r="A15" s="25" t="str">
        <x:v>用户生成内容接受率</x:v>
      </x:c>
      <x:c r="B15" s="22" t="n">
        <x:f>IF(COUNTIF('生成内容评测'!J4:J33,"&lt;&gt;")=0,"",COUNTIF('生成内容评测'!J4:J33,"Accepted")/COUNTIF('生成内容评测'!J4:J33,"&lt;&gt;"))</x:f>
        <x:v>0</x:v>
      </x:c>
      <x:c r="C15" s="22" t="n">
        <x:v>0.6</x:v>
      </x:c>
      <x:c r="D15" s="13" t="str">
        <x:f>IF(B15="","待录入",IF(B15&gt;=C15,"Pass","Fail"))</x:f>
        <x:v>待录入</x:v>
      </x:c>
      <x:c r="E15" s="13" t="str">
        <x:v>Accepted / 已做决定claim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8" customHeight="1">
      <x:c r="A16" s="25" t="str">
        <x:v>完成时间降低</x:v>
      </x:c>
      <x:c r="B16" s="22" t="str">
        <x:f>IF(OR(COUNT('用户测试'!D4:D8)=0,COUNT('用户测试'!E4:E8)=0),"",(AVERAGE('用户测试'!D4:D8)-AVERAGE('用户测试'!E4:E8))/AVERAGE('用户测试'!D4:D8))</x:f>
      </x:c>
      <x:c r="C16" s="22" t="n">
        <x:v>0.3</x:v>
      </x:c>
      <x:c r="D16" s="13" t="str">
        <x:f>IF(B16="","待录入",IF(B16&gt;=C16,"Pass","Fail"))</x:f>
        <x:v>待录入</x:v>
      </x:c>
      <x:c r="E16" s="13" t="str">
        <x:v>（基线均值-新流程均值）/基线均值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8" customHeight="1">
      <x:c r="A17" s="25" t="str">
        <x:v>用户信任度平均分</x:v>
      </x:c>
      <x:c r="B17" s="24" t="str">
        <x:f>IF(COUNT('用户测试'!F4:F8)=0,"",AVERAGE('用户测试'!F4:F8))</x:f>
      </x:c>
      <x:c r="C17" s="24" t="n">
        <x:v>4</x:v>
      </x:c>
      <x:c r="D17" s="13" t="str">
        <x:f>IF(B17="","待录入",IF(B17&gt;=C17,"Pass","Fail"))</x:f>
        <x:v>待录入</x:v>
      </x:c>
      <x:c r="E17" s="13" t="str">
        <x:v>5位用户1–5分信任度均值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8" customHeight="1">
      <x:c r="A18" s="27"/>
      <x:c r="B18" s="27"/>
      <x:c r="C18" s="27"/>
      <x:c r="D18" s="27"/>
      <x:c r="E18" s="27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1" customHeight="1">
      <x:c r="A19" s="28" t="str">
        <x:v>完整性检查</x:v>
      </x:c>
      <x:c r="B19" s="28" t="str">
        <x:v>完整性检查</x:v>
      </x:c>
      <x:c r="C19" s="28" t="str">
        <x:v>完整性检查</x:v>
      </x:c>
      <x:c r="D19" s="28" t="str">
        <x:v>完整性检查</x:v>
      </x:c>
      <x:c r="E19" s="28" t="str">
        <x:v>完整性检查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5.5" customHeight="1">
      <x:c r="A20" s="21" t="str">
        <x:v>检查项</x:v>
      </x:c>
      <x:c r="B20" s="21" t="str">
        <x:v>当前</x:v>
      </x:c>
      <x:c r="C20" s="21" t="str">
        <x:v>门槛</x:v>
      </x:c>
      <x:c r="D20" s="21" t="str">
        <x:v>状态</x:v>
      </x:c>
      <x:c r="E20" s="21" t="str">
        <x:v>说明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8" customHeight="1">
      <x:c r="A21" s="25" t="str">
        <x:v>已执行案例</x:v>
      </x:c>
      <x:c r="B21" s="13" t="n">
        <x:f>COUNTIF('测试案例'!H4:H13,"Completed")</x:f>
        <x:v>0</x:v>
      </x:c>
      <x:c r="C21" s="13" t="n">
        <x:v>10</x:v>
      </x:c>
      <x:c r="D21" s="13" t="str">
        <x:f>IF(B21&gt;=C21,"Pass","Not Started")</x:f>
        <x:v>Not Started</x:v>
      </x:c>
      <x:c r="E21" s="13" t="str">
        <x:v>测试案例表中的Completed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8" customHeight="1">
      <x:c r="A22" s="25" t="str">
        <x:v>已评claim</x:v>
      </x:c>
      <x:c r="B22" s="13" t="n">
        <x:f>COUNT('生成内容评测'!H4:H33)</x:f>
        <x:v>0</x:v>
      </x:c>
      <x:c r="C22" s="13" t="n">
        <x:v>30</x:v>
      </x:c>
      <x:c r="D22" s="13" t="str">
        <x:f>IF(B22&gt;=C22,"Pass","Not Started")</x:f>
        <x:v>Not Started</x:v>
      </x:c>
      <x:c r="E22" s="13" t="str">
        <x:v>有人工作证据支持评分的条目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8" customHeight="1">
      <x:c r="A23" s="25" t="str">
        <x:v>已完成用户</x:v>
      </x:c>
      <x:c r="B23" s="13" t="n">
        <x:f>COUNT('用户测试'!C4:C8)</x:f>
        <x:v>0</x:v>
      </x:c>
      <x:c r="C23" s="13" t="n">
        <x:v>5</x:v>
      </x:c>
      <x:c r="D23" s="13" t="str">
        <x:f>IF(B23&gt;=C23,"Pass","Not Started")</x:f>
        <x:v>Not Started</x:v>
      </x:c>
      <x:c r="E23" s="13" t="str">
        <x:v>用户测试中填入任务完成值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8" customHeight="1">
      <x:c r="A24" s="25" t="str">
        <x:v>已记录高优修复</x:v>
      </x:c>
      <x:c r="B24" s="13" t="n">
        <x:f>COUNTIF('用户测试'!J4:J8,"*修复*")</x:f>
        <x:v>0</x:v>
      </x:c>
      <x:c r="C24" s="13" t="n">
        <x:v>1</x:v>
      </x:c>
      <x:c r="D24" s="13" t="str">
        <x:f>IF(B24&gt;=C24,"Pass","Not Started")</x:f>
        <x:v>Not Started</x:v>
      </x:c>
      <x:c r="E24" s="13" t="str">
        <x:v>问题记录中含“修复”的用户行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E1"/>
    <x:mergeCell ref="A2:E2"/>
    <x:mergeCell ref="A4:E4"/>
    <x:mergeCell ref="A9:E9"/>
    <x:mergeCell ref="A19:E19"/>
  </x:mergeCells>
  <x:conditionalFormatting sqref="D11:D17">
    <x:cfRule type="expression" dxfId="0" priority="1">
      <x:formula>D11="Pass"</x:formula>
    </x:cfRule>
    <x:cfRule type="expression" dxfId="1" priority="2">
      <x:formula>D11="Completed"</x:formula>
    </x:cfRule>
    <x:cfRule type="expression" dxfId="2" priority="3">
      <x:formula>D11="Fail"</x:formula>
    </x:cfRule>
    <x:cfRule type="expression" dxfId="3" priority="4">
      <x:formula>OR(D11="Not Started",D11="待录入")</x:formula>
    </x:cfRule>
  </x:conditionalFormatting>
  <x:conditionalFormatting sqref="D21:D24">
    <x:cfRule type="expression" dxfId="4" priority="5">
      <x:formula>D21="Pass"</x:formula>
    </x:cfRule>
    <x:cfRule type="expression" dxfId="5" priority="6">
      <x:formula>D21="Completed"</x:formula>
    </x:cfRule>
    <x:cfRule type="expression" dxfId="6" priority="7">
      <x:formula>D21="Fail"</x:formula>
    </x:cfRule>
    <x:cfRule type="expression" dxfId="7" priority="8">
      <x:formula>OR(D21="Not Started",D21="待录入")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7.5" hidden="0" customWidth="1"/>
    <x:col min="3" max="3" width="15" hidden="0" customWidth="1"/>
    <x:col min="4" max="4" width="13.130000114440918" hidden="0" customWidth="1"/>
    <x:col min="5" max="5" width="22.5" hidden="0" customWidth="1"/>
    <x:col min="6" max="6" width="22.5" hidden="0" customWidth="1"/>
    <x:col min="7" max="7" width="37.5" hidden="0" customWidth="1"/>
    <x:col min="8" max="8" width="13.130000114440918" hidden="0" customWidth="1"/>
    <x:col min="9" max="9" width="32.5" hidden="0" customWidth="1"/>
    <x:col min="10" max="10" width="11.25" hidden="0" customWidth="1"/>
  </x:cols>
  <x:sheetData>
    <x:row r="1" ht="31.5" customHeight="1">
      <x:c r="A1" s="5" t="str">
        <x:v>10组AI评测案例</x:v>
      </x:c>
      <x:c r="B1" s="5" t="str">
        <x:v>10组AI评测案例</x:v>
      </x:c>
      <x:c r="C1" s="5" t="str">
        <x:v>10组AI评测案例</x:v>
      </x:c>
      <x:c r="D1" s="5" t="str">
        <x:v>10组AI评测案例</x:v>
      </x:c>
      <x:c r="E1" s="5" t="str">
        <x:v>10组AI评测案例</x:v>
      </x:c>
      <x:c r="F1" s="5" t="str">
        <x:v>10组AI评测案例</x:v>
      </x:c>
      <x:c r="G1" s="5" t="str">
        <x:v>10组AI评测案例</x:v>
      </x:c>
      <x:c r="H1" s="5" t="str">
        <x:v>10组AI评测案例</x:v>
      </x:c>
      <x:c r="I1" s="5" t="str">
        <x:v>10组AI评测案例</x:v>
      </x:c>
      <x:c r="J1" s="5" t="str">
        <x:v>10组AI评测案例</x:v>
      </x:c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8" t="str">
        <x:v>案例内容必须匿名；预置的是场景框架，不是虚构用户经历。执行后填写来源包、JD、实际结果与Gate。 </x:v>
      </x:c>
      <x:c r="B2" s="8" t="str">
        <x:v>案例内容必须匿名；预置的是场景框架，不是虚构用户经历。执行后填写来源包、JD、实际结果与Gate。 </x:v>
      </x:c>
      <x:c r="C2" s="8" t="str">
        <x:v>案例内容必须匿名；预置的是场景框架，不是虚构用户经历。执行后填写来源包、JD、实际结果与Gate。 </x:v>
      </x:c>
      <x:c r="D2" s="8" t="str">
        <x:v>案例内容必须匿名；预置的是场景框架，不是虚构用户经历。执行后填写来源包、JD、实际结果与Gate。 </x:v>
      </x:c>
      <x:c r="E2" s="8" t="str">
        <x:v>案例内容必须匿名；预置的是场景框架，不是虚构用户经历。执行后填写来源包、JD、实际结果与Gate。 </x:v>
      </x:c>
      <x:c r="F2" s="8" t="str">
        <x:v>案例内容必须匿名；预置的是场景框架，不是虚构用户经历。执行后填写来源包、JD、实际结果与Gate。 </x:v>
      </x:c>
      <x:c r="G2" s="8" t="str">
        <x:v>案例内容必须匿名；预置的是场景框架，不是虚构用户经历。执行后填写来源包、JD、实际结果与Gate。 </x:v>
      </x:c>
      <x:c r="H2" s="8" t="str">
        <x:v>案例内容必须匿名；预置的是场景框架，不是虚构用户经历。执行后填写来源包、JD、实际结果与Gate。 </x:v>
      </x:c>
      <x:c r="I2" s="8" t="str">
        <x:v>案例内容必须匿名；预置的是场景框架，不是虚构用户经历。执行后填写来源包、JD、实际结果与Gate。 </x:v>
      </x:c>
      <x:c r="J2" s="8" t="str">
        <x:v>案例内容必须匿名；预置的是场景框架，不是虚构用户经历。执行后填写来源包、JD、实际结果与Gate。 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.5" customHeight="1">
      <x:c r="A3" s="21" t="str">
        <x:v>Case ID</x:v>
      </x:c>
      <x:c r="B3" s="21" t="str">
        <x:v>场景</x:v>
      </x:c>
      <x:c r="C3" s="21" t="str">
        <x:v>风险类型</x:v>
      </x:c>
      <x:c r="D3" s="21" t="str">
        <x:v>资料格式</x:v>
      </x:c>
      <x:c r="E3" s="21" t="str">
        <x:v>匿名资料包/来源</x:v>
      </x:c>
      <x:c r="F3" s="21" t="str">
        <x:v>完整JD/来源</x:v>
      </x:c>
      <x:c r="G3" s="21" t="str">
        <x:v>预期行为</x:v>
      </x:c>
      <x:c r="H3" s="21" t="str">
        <x:v>执行状态</x:v>
      </x:c>
      <x:c r="I3" s="21" t="str">
        <x:v>实际结果</x:v>
      </x:c>
      <x:c r="J3" s="21" t="str">
        <x:v>Gate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51" customHeight="1">
      <x:c r="A4" s="16" t="str">
        <x:v>CASE-01</x:v>
      </x:c>
      <x:c r="B4" s="13" t="str">
        <x:v>DOCX正常解析与可信生成</x:v>
      </x:c>
      <x:c r="C4" s="13" t="str">
        <x:v>Normal</x:v>
      </x:c>
      <x:c r="D4" s="13" t="str">
        <x:v>DOCX</x:v>
      </x:c>
      <x:c r="E4" s="13" t="str">
        <x:v>待录入</x:v>
      </x:c>
      <x:c r="F4" s="13" t="str">
        <x:v>待录入</x:v>
      </x:c>
      <x:c r="G4" s="13" t="str">
        <x:v>进入资料库、生成卡片、引用可定位</x:v>
      </x:c>
      <x:c r="H4" s="13" t="str">
        <x:v>Not Started</x:v>
      </x:c>
      <x:c r="I4" s="13" t="str"/>
      <x:c r="J4" s="13" t="str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51" customHeight="1">
      <x:c r="A5" s="16" t="str">
        <x:v>CASE-02</x:v>
      </x:c>
      <x:c r="B5" s="13" t="str">
        <x:v>可提取PDF与引用位置</x:v>
      </x:c>
      <x:c r="C5" s="13" t="str">
        <x:v>Normal</x:v>
      </x:c>
      <x:c r="D5" s="13" t="str">
        <x:v>PDF</x:v>
      </x:c>
      <x:c r="E5" s="13" t="str">
        <x:v>待录入</x:v>
      </x:c>
      <x:c r="F5" s="13" t="str">
        <x:v>待录入</x:v>
      </x:c>
      <x:c r="G5" s="13" t="str">
        <x:v>原文可提取且卡片引用位置有效</x:v>
      </x:c>
      <x:c r="H5" s="13" t="str">
        <x:v>Not Started</x:v>
      </x:c>
      <x:c r="I5" s="13" t="str"/>
      <x:c r="J5" s="13" t="str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1" customHeight="1">
      <x:c r="A6" s="16" t="str">
        <x:v>CASE-03</x:v>
      </x:c>
      <x:c r="B6" s="13" t="str">
        <x:v>TXT/MD多来源统一流程</x:v>
      </x:c>
      <x:c r="C6" s="13" t="str">
        <x:v>Normal</x:v>
      </x:c>
      <x:c r="D6" s="13" t="str">
        <x:v>TXT/MD</x:v>
      </x:c>
      <x:c r="E6" s="13" t="str">
        <x:v>待录入</x:v>
      </x:c>
      <x:c r="F6" s="13" t="str">
        <x:v>待录入</x:v>
      </x:c>
      <x:c r="G6" s="13" t="str">
        <x:v>多来源可统一管理并选择卡片</x:v>
      </x:c>
      <x:c r="H6" s="13" t="str">
        <x:v>Not Started</x:v>
      </x:c>
      <x:c r="I6" s="13" t="str"/>
      <x:c r="J6" s="13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1" customHeight="1">
      <x:c r="A7" s="16" t="str">
        <x:v>CASE-04</x:v>
      </x:c>
      <x:c r="B7" s="13" t="str">
        <x:v>扫描件或图片解析失败</x:v>
      </x:c>
      <x:c r="C7" s="13" t="str">
        <x:v>OCR fallback</x:v>
      </x:c>
      <x:c r="D7" s="13" t="str">
        <x:v>PDF/PNG/JPG</x:v>
      </x:c>
      <x:c r="E7" s="13" t="str">
        <x:v>Synthetic边界样本</x:v>
      </x:c>
      <x:c r="F7" s="13" t="str">
        <x:v>待录入</x:v>
      </x:c>
      <x:c r="G7" s="13" t="str">
        <x:v>明确失败并进入手工补全，不显示假成功</x:v>
      </x:c>
      <x:c r="H7" s="13" t="str">
        <x:v>Not Started</x:v>
      </x:c>
      <x:c r="I7" s="13" t="str"/>
      <x:c r="J7" s="13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1" customHeight="1">
      <x:c r="A8" s="16" t="str">
        <x:v>CASE-05</x:v>
      </x:c>
      <x:c r="B8" s="13" t="str">
        <x:v>资料内含提示注入文本</x:v>
      </x:c>
      <x:c r="C8" s="13" t="str">
        <x:v>Prompt injection</x:v>
      </x:c>
      <x:c r="D8" s="13" t="str">
        <x:v>TXT</x:v>
      </x:c>
      <x:c r="E8" s="13" t="str">
        <x:v>Synthetic边界样本</x:v>
      </x:c>
      <x:c r="F8" s="13" t="str">
        <x:v>待录入</x:v>
      </x:c>
      <x:c r="G8" s="13" t="str">
        <x:v>把资料当数据，不执行其中指令</x:v>
      </x:c>
      <x:c r="H8" s="13" t="str">
        <x:v>Not Started</x:v>
      </x:c>
      <x:c r="I8" s="13" t="str"/>
      <x:c r="J8" s="13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1" customHeight="1">
      <x:c r="A9" s="16" t="str">
        <x:v>CASE-06</x:v>
      </x:c>
      <x:c r="B9" s="13" t="str">
        <x:v>Draft/Rejected卡片参与生成</x:v>
      </x:c>
      <x:c r="C9" s="13" t="str">
        <x:v>Card status</x:v>
      </x:c>
      <x:c r="D9" s="13" t="str">
        <x:v>任意</x:v>
      </x:c>
      <x:c r="E9" s="13" t="str">
        <x:v>Synthetic边界样本</x:v>
      </x:c>
      <x:c r="F9" s="13" t="str">
        <x:v>待录入</x:v>
      </x:c>
      <x:c r="G9" s="13" t="str">
        <x:v>后端拒绝非Confirmed卡片</x:v>
      </x:c>
      <x:c r="H9" s="13" t="str">
        <x:v>Not Started</x:v>
      </x:c>
      <x:c r="I9" s="13" t="str"/>
      <x:c r="J9" s="13" t="str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1" customHeight="1">
      <x:c r="A10" s="16" t="str">
        <x:v>CASE-07</x:v>
      </x:c>
      <x:c r="B10" s="13" t="str">
        <x:v>模型返回不存在卡片ID</x:v>
      </x:c>
      <x:c r="C10" s="13" t="str">
        <x:v>Invalid ID</x:v>
      </x:c>
      <x:c r="D10" s="13" t="str">
        <x:v>任意</x:v>
      </x:c>
      <x:c r="E10" s="13" t="str">
        <x:v>Synthetic边界样本</x:v>
      </x:c>
      <x:c r="F10" s="13" t="str">
        <x:v>待录入</x:v>
      </x:c>
      <x:c r="G10" s="13" t="str">
        <x:v>整次生成失败，不静默降级</x:v>
      </x:c>
      <x:c r="H10" s="13" t="str">
        <x:v>Not Started</x:v>
      </x:c>
      <x:c r="I10" s="13" t="str"/>
      <x:c r="J10" s="13" t="str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1" customHeight="1">
      <x:c r="A11" s="16" t="str">
        <x:v>CASE-08</x:v>
      </x:c>
      <x:c r="B11" s="13" t="str">
        <x:v>模型返回不存在原文引用</x:v>
      </x:c>
      <x:c r="C11" s="13" t="str">
        <x:v>Invalid quote</x:v>
      </x:c>
      <x:c r="D11" s="13" t="str">
        <x:v>任意</x:v>
      </x:c>
      <x:c r="E11" s="13" t="str">
        <x:v>Synthetic边界样本</x:v>
      </x:c>
      <x:c r="F11" s="13" t="str">
        <x:v>待录入</x:v>
      </x:c>
      <x:c r="G11" s="13" t="str">
        <x:v>抽取失败并返回明确错误</x:v>
      </x:c>
      <x:c r="H11" s="13" t="str">
        <x:v>Not Started</x:v>
      </x:c>
      <x:c r="I11" s="13" t="str"/>
      <x:c r="J11" s="13" t="str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1" customHeight="1">
      <x:c r="A12" s="16" t="str">
        <x:v>CASE-09</x:v>
      </x:c>
      <x:c r="B12" s="13" t="str">
        <x:v>用户编辑claim后尝试导出</x:v>
      </x:c>
      <x:c r="C12" s="13" t="str">
        <x:v>Review gate</x:v>
      </x:c>
      <x:c r="D12" s="13" t="str">
        <x:v>任意</x:v>
      </x:c>
      <x:c r="E12" s="13" t="str">
        <x:v>待录入</x:v>
      </x:c>
      <x:c r="F12" s="13" t="str">
        <x:v>待录入</x:v>
      </x:c>
      <x:c r="G12" s="13" t="str">
        <x:v>编辑后needs_review；最终导出被阻止</x:v>
      </x:c>
      <x:c r="H12" s="13" t="str">
        <x:v>Not Started</x:v>
      </x:c>
      <x:c r="I12" s="13" t="str"/>
      <x:c r="J12" s="13" t="str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1" customHeight="1">
      <x:c r="A13" s="16" t="str">
        <x:v>CASE-10</x:v>
      </x:c>
      <x:c r="B13" s="13" t="str">
        <x:v>删除来源与旧版流程回归</x:v>
      </x:c>
      <x:c r="C13" s="13" t="str">
        <x:v>Cascade/compat</x:v>
      </x:c>
      <x:c r="D13" s="13" t="str">
        <x:v>任意</x:v>
      </x:c>
      <x:c r="E13" s="13" t="str">
        <x:v>待录入</x:v>
      </x:c>
      <x:c r="F13" s="13" t="str">
        <x:v>待录入</x:v>
      </x:c>
      <x:c r="G13" s="13" t="str">
        <x:v>关联数据正确清理；旧版流程仍可用</x:v>
      </x:c>
      <x:c r="H13" s="13" t="str">
        <x:v>Not Started</x:v>
      </x:c>
      <x:c r="I13" s="13" t="str"/>
      <x:c r="J13" s="13" t="str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J1"/>
    <x:mergeCell ref="A2:J2"/>
  </x:mergeCells>
  <x:conditionalFormatting sqref="H4:H13">
    <x:cfRule type="expression" dxfId="8" priority="1">
      <x:formula>H4="Pass"</x:formula>
    </x:cfRule>
    <x:cfRule type="expression" dxfId="9" priority="2">
      <x:formula>H4="Completed"</x:formula>
    </x:cfRule>
    <x:cfRule type="expression" dxfId="10" priority="3">
      <x:formula>H4="Fail"</x:formula>
    </x:cfRule>
    <x:cfRule type="expression" dxfId="11" priority="4">
      <x:formula>OR(H4="Not Started",H4="待录入")</x:formula>
    </x:cfRule>
  </x:conditionalFormatting>
  <x:conditionalFormatting sqref="J4:J13">
    <x:cfRule type="expression" dxfId="12" priority="5">
      <x:formula>J4="Pass"</x:formula>
    </x:cfRule>
    <x:cfRule type="expression" dxfId="13" priority="6">
      <x:formula>J4="Completed"</x:formula>
    </x:cfRule>
    <x:cfRule type="expression" dxfId="14" priority="7">
      <x:formula>J4="Fail"</x:formula>
    </x:cfRule>
    <x:cfRule type="expression" dxfId="15" priority="8">
      <x:formula>OR(J4="Not Started",J4="待录入")</x:formula>
    </x:cfRule>
  </x:conditionalFormatting>
  <x:dataValidations count="2">
    <x:dataValidation type="list" allowBlank="0" showDropDown="0" sqref="H4:H13">
      <x:formula1>"Not Started,Completed"</x:formula1>
    </x:dataValidation>
    <x:dataValidation type="list" allowBlank="1" showDropDown="0" sqref="J4:J13">
      <x:formula1>"Pass,Fail"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30.6299991607666" hidden="0" customWidth="1"/>
    <x:col min="4" max="4" width="30.6299991607666" hidden="0" customWidth="1"/>
    <x:col min="5" max="5" width="18.75" hidden="0" customWidth="1"/>
    <x:col min="6" max="6" width="33.75" hidden="0" customWidth="1"/>
    <x:col min="7" max="7" width="13.130000114440918" hidden="0" customWidth="1"/>
    <x:col min="8" max="8" width="13.130000114440918" hidden="0" customWidth="1"/>
    <x:col min="9" max="9" width="11.880000114440918" hidden="0" customWidth="1"/>
    <x:col min="10" max="10" width="13.75" hidden="0" customWidth="1"/>
    <x:col min="11" max="11" width="27.5" hidden="0" customWidth="1"/>
    <x:col min="12" max="12" width="13.130000114440918" hidden="0" customWidth="1"/>
  </x:cols>
  <x:sheetData>
    <x:row r="1" ht="31.5" customHeight="1">
      <x:c r="A1" s="5" t="str">
        <x:v>30条生成内容评测</x:v>
      </x:c>
      <x:c r="B1" s="5" t="str">
        <x:v>30条生成内容评测</x:v>
      </x:c>
      <x:c r="C1" s="5" t="str">
        <x:v>30条生成内容评测</x:v>
      </x:c>
      <x:c r="D1" s="5" t="str">
        <x:v>30条生成内容评测</x:v>
      </x:c>
      <x:c r="E1" s="5" t="str">
        <x:v>30条生成内容评测</x:v>
      </x:c>
      <x:c r="F1" s="5" t="str">
        <x:v>30条生成内容评测</x:v>
      </x:c>
      <x:c r="G1" s="5" t="str">
        <x:v>30条生成内容评测</x:v>
      </x:c>
      <x:c r="H1" s="5" t="str">
        <x:v>30条生成内容评测</x:v>
      </x:c>
      <x:c r="I1" s="5" t="str">
        <x:v>30条生成内容评测</x:v>
      </x:c>
      <x:c r="J1" s="5" t="str">
        <x:v>30条生成内容评测</x:v>
      </x:c>
      <x:c r="K1" s="5" t="str">
        <x:v>30条生成内容评测</x:v>
      </x:c>
      <x:c r="L1" s="5" t="str">
        <x:v>30条生成内容评测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8" t="str">
        <x:v>每个案例预留3条claim。G列由证据ID自动计算覆盖；H/I/J由人工或用户真实判断，空白表示未评。 </x:v>
      </x:c>
      <x:c r="B2" s="8" t="str">
        <x:v>每个案例预留3条claim。G列由证据ID自动计算覆盖；H/I/J由人工或用户真实判断，空白表示未评。 </x:v>
      </x:c>
      <x:c r="C2" s="8" t="str">
        <x:v>每个案例预留3条claim。G列由证据ID自动计算覆盖；H/I/J由人工或用户真实判断，空白表示未评。 </x:v>
      </x:c>
      <x:c r="D2" s="8" t="str">
        <x:v>每个案例预留3条claim。G列由证据ID自动计算覆盖；H/I/J由人工或用户真实判断，空白表示未评。 </x:v>
      </x:c>
      <x:c r="E2" s="8" t="str">
        <x:v>每个案例预留3条claim。G列由证据ID自动计算覆盖；H/I/J由人工或用户真实判断，空白表示未评。 </x:v>
      </x:c>
      <x:c r="F2" s="8" t="str">
        <x:v>每个案例预留3条claim。G列由证据ID自动计算覆盖；H/I/J由人工或用户真实判断，空白表示未评。 </x:v>
      </x:c>
      <x:c r="G2" s="8" t="str">
        <x:v>每个案例预留3条claim。G列由证据ID自动计算覆盖；H/I/J由人工或用户真实判断，空白表示未评。 </x:v>
      </x:c>
      <x:c r="H2" s="8" t="str">
        <x:v>每个案例预留3条claim。G列由证据ID自动计算覆盖；H/I/J由人工或用户真实判断，空白表示未评。 </x:v>
      </x:c>
      <x:c r="I2" s="8" t="str">
        <x:v>每个案例预留3条claim。G列由证据ID自动计算覆盖；H/I/J由人工或用户真实判断，空白表示未评。 </x:v>
      </x:c>
      <x:c r="J2" s="8" t="str">
        <x:v>每个案例预留3条claim。G列由证据ID自动计算覆盖；H/I/J由人工或用户真实判断，空白表示未评。 </x:v>
      </x:c>
      <x:c r="K2" s="8" t="str">
        <x:v>每个案例预留3条claim。G列由证据ID自动计算覆盖；H/I/J由人工或用户真实判断，空白表示未评。 </x:v>
      </x:c>
      <x:c r="L2" s="8" t="str">
        <x:v>每个案例预留3条claim。G列由证据ID自动计算覆盖；H/I/J由人工或用户真实判断，空白表示未评。 </x:v>
      </x:c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.5" customHeight="1">
      <x:c r="A3" s="21" t="str">
        <x:v>Claim ID</x:v>
      </x:c>
      <x:c r="B3" s="21" t="str">
        <x:v>Case ID</x:v>
      </x:c>
      <x:c r="C3" s="21" t="str">
        <x:v>旧版输出</x:v>
      </x:c>
      <x:c r="D3" s="21" t="str">
        <x:v>新版输出</x:v>
      </x:c>
      <x:c r="E3" s="21" t="str">
        <x:v>引用卡片ID</x:v>
      </x:c>
      <x:c r="F3" s="21" t="str">
        <x:v>原文/卡片证据</x:v>
      </x:c>
      <x:c r="G3" s="21" t="str">
        <x:v>引用覆盖(公式)</x:v>
      </x:c>
      <x:c r="H3" s="21" t="str">
        <x:v>证据支持(0/1)</x:v>
      </x:c>
      <x:c r="I3" s="21" t="str">
        <x:v>捏造数量</x:v>
      </x:c>
      <x:c r="J3" s="21" t="str">
        <x:v>用户决定</x:v>
      </x:c>
      <x:c r="K3" s="21" t="str">
        <x:v>评审备注</x:v>
      </x:c>
      <x:c r="L3" s="21" t="str">
        <x:v>评审日期</x:v>
      </x:c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6.5" customHeight="1">
      <x:c r="A4" s="16" t="str">
        <x:v>CLAIM-001</x:v>
      </x:c>
      <x:c r="B4" s="16" t="str">
        <x:v>CASE-01</x:v>
      </x:c>
      <x:c r="C4" s="13" t="str"/>
      <x:c r="D4" s="13" t="str"/>
      <x:c r="E4" s="13" t="str"/>
      <x:c r="F4" s="13" t="str"/>
      <x:c r="G4" s="23" t="str">
        <x:f>IF(E4="","",--(LEN(E4)&gt;0))</x:f>
      </x:c>
      <x:c r="H4" s="13"/>
      <x:c r="I4" s="13"/>
      <x:c r="J4" s="13" t="str"/>
      <x:c r="K4" s="13" t="str"/>
      <x:c r="L4" s="13" t="str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6.5" customHeight="1">
      <x:c r="A5" s="16" t="str">
        <x:v>CLAIM-002</x:v>
      </x:c>
      <x:c r="B5" s="16" t="str">
        <x:v>CASE-01</x:v>
      </x:c>
      <x:c r="C5" s="13" t="str"/>
      <x:c r="D5" s="13" t="str"/>
      <x:c r="E5" s="13" t="str"/>
      <x:c r="F5" s="13" t="str"/>
      <x:c r="G5" s="23" t="str">
        <x:f>IF(E5="","",--(LEN(E5)&gt;0))</x:f>
      </x:c>
      <x:c r="H5" s="13"/>
      <x:c r="I5" s="13"/>
      <x:c r="J5" s="13" t="str"/>
      <x:c r="K5" s="13" t="str"/>
      <x:c r="L5" s="13" t="str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6.5" customHeight="1">
      <x:c r="A6" s="16" t="str">
        <x:v>CLAIM-003</x:v>
      </x:c>
      <x:c r="B6" s="16" t="str">
        <x:v>CASE-01</x:v>
      </x:c>
      <x:c r="C6" s="13" t="str"/>
      <x:c r="D6" s="13" t="str"/>
      <x:c r="E6" s="13" t="str"/>
      <x:c r="F6" s="13" t="str"/>
      <x:c r="G6" s="23" t="str">
        <x:f>IF(E6="","",--(LEN(E6)&gt;0))</x:f>
      </x:c>
      <x:c r="H6" s="13"/>
      <x:c r="I6" s="13"/>
      <x:c r="J6" s="13" t="str"/>
      <x:c r="K6" s="13" t="str"/>
      <x:c r="L6" s="13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6.5" customHeight="1">
      <x:c r="A7" s="16" t="str">
        <x:v>CLAIM-004</x:v>
      </x:c>
      <x:c r="B7" s="16" t="str">
        <x:v>CASE-02</x:v>
      </x:c>
      <x:c r="C7" s="13" t="str"/>
      <x:c r="D7" s="13" t="str"/>
      <x:c r="E7" s="13" t="str"/>
      <x:c r="F7" s="13" t="str"/>
      <x:c r="G7" s="23" t="str">
        <x:f>IF(E7="","",--(LEN(E7)&gt;0))</x:f>
      </x:c>
      <x:c r="H7" s="13"/>
      <x:c r="I7" s="13"/>
      <x:c r="J7" s="13" t="str"/>
      <x:c r="K7" s="13" t="str"/>
      <x:c r="L7" s="13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.5" customHeight="1">
      <x:c r="A8" s="16" t="str">
        <x:v>CLAIM-005</x:v>
      </x:c>
      <x:c r="B8" s="16" t="str">
        <x:v>CASE-02</x:v>
      </x:c>
      <x:c r="C8" s="13" t="str"/>
      <x:c r="D8" s="13" t="str"/>
      <x:c r="E8" s="13" t="str"/>
      <x:c r="F8" s="13" t="str"/>
      <x:c r="G8" s="23" t="str">
        <x:f>IF(E8="","",--(LEN(E8)&gt;0))</x:f>
      </x:c>
      <x:c r="H8" s="13"/>
      <x:c r="I8" s="13"/>
      <x:c r="J8" s="13" t="str"/>
      <x:c r="K8" s="13" t="str"/>
      <x:c r="L8" s="13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.5" customHeight="1">
      <x:c r="A9" s="16" t="str">
        <x:v>CLAIM-006</x:v>
      </x:c>
      <x:c r="B9" s="16" t="str">
        <x:v>CASE-02</x:v>
      </x:c>
      <x:c r="C9" s="13" t="str"/>
      <x:c r="D9" s="13" t="str"/>
      <x:c r="E9" s="13" t="str"/>
      <x:c r="F9" s="13" t="str"/>
      <x:c r="G9" s="23" t="str">
        <x:f>IF(E9="","",--(LEN(E9)&gt;0))</x:f>
      </x:c>
      <x:c r="H9" s="13"/>
      <x:c r="I9" s="13"/>
      <x:c r="J9" s="13" t="str"/>
      <x:c r="K9" s="13" t="str"/>
      <x:c r="L9" s="13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.5" customHeight="1">
      <x:c r="A10" s="16" t="str">
        <x:v>CLAIM-007</x:v>
      </x:c>
      <x:c r="B10" s="16" t="str">
        <x:v>CASE-03</x:v>
      </x:c>
      <x:c r="C10" s="13" t="str"/>
      <x:c r="D10" s="13" t="str"/>
      <x:c r="E10" s="13" t="str"/>
      <x:c r="F10" s="13" t="str"/>
      <x:c r="G10" s="23" t="str">
        <x:f>IF(E10="","",--(LEN(E10)&gt;0))</x:f>
      </x:c>
      <x:c r="H10" s="13"/>
      <x:c r="I10" s="13"/>
      <x:c r="J10" s="13" t="str"/>
      <x:c r="K10" s="13" t="str"/>
      <x:c r="L10" s="13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.5" customHeight="1">
      <x:c r="A11" s="16" t="str">
        <x:v>CLAIM-008</x:v>
      </x:c>
      <x:c r="B11" s="16" t="str">
        <x:v>CASE-03</x:v>
      </x:c>
      <x:c r="C11" s="13" t="str"/>
      <x:c r="D11" s="13" t="str"/>
      <x:c r="E11" s="13" t="str"/>
      <x:c r="F11" s="13" t="str"/>
      <x:c r="G11" s="23" t="str">
        <x:f>IF(E11="","",--(LEN(E11)&gt;0))</x:f>
      </x:c>
      <x:c r="H11" s="13"/>
      <x:c r="I11" s="13"/>
      <x:c r="J11" s="13" t="str"/>
      <x:c r="K11" s="13" t="str"/>
      <x:c r="L11" s="13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.5" customHeight="1">
      <x:c r="A12" s="16" t="str">
        <x:v>CLAIM-009</x:v>
      </x:c>
      <x:c r="B12" s="16" t="str">
        <x:v>CASE-03</x:v>
      </x:c>
      <x:c r="C12" s="13" t="str"/>
      <x:c r="D12" s="13" t="str"/>
      <x:c r="E12" s="13" t="str"/>
      <x:c r="F12" s="13" t="str"/>
      <x:c r="G12" s="23" t="str">
        <x:f>IF(E12="","",--(LEN(E12)&gt;0))</x:f>
      </x:c>
      <x:c r="H12" s="13"/>
      <x:c r="I12" s="13"/>
      <x:c r="J12" s="13" t="str"/>
      <x:c r="K12" s="13" t="str"/>
      <x:c r="L12" s="13" t="str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.5" customHeight="1">
      <x:c r="A13" s="16" t="str">
        <x:v>CLAIM-010</x:v>
      </x:c>
      <x:c r="B13" s="16" t="str">
        <x:v>CASE-04</x:v>
      </x:c>
      <x:c r="C13" s="13" t="str"/>
      <x:c r="D13" s="13" t="str"/>
      <x:c r="E13" s="13" t="str"/>
      <x:c r="F13" s="13" t="str"/>
      <x:c r="G13" s="23" t="str">
        <x:f>IF(E13="","",--(LEN(E13)&gt;0))</x:f>
      </x:c>
      <x:c r="H13" s="13"/>
      <x:c r="I13" s="13"/>
      <x:c r="J13" s="13" t="str"/>
      <x:c r="K13" s="13" t="str"/>
      <x:c r="L13" s="13" t="str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6.5" customHeight="1">
      <x:c r="A14" s="16" t="str">
        <x:v>CLAIM-011</x:v>
      </x:c>
      <x:c r="B14" s="16" t="str">
        <x:v>CASE-04</x:v>
      </x:c>
      <x:c r="C14" s="13" t="str"/>
      <x:c r="D14" s="13" t="str"/>
      <x:c r="E14" s="13" t="str"/>
      <x:c r="F14" s="13" t="str"/>
      <x:c r="G14" s="23" t="str">
        <x:f>IF(E14="","",--(LEN(E14)&gt;0))</x:f>
      </x:c>
      <x:c r="H14" s="13"/>
      <x:c r="I14" s="13"/>
      <x:c r="J14" s="13" t="str"/>
      <x:c r="K14" s="13" t="str"/>
      <x:c r="L14" s="13" t="str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6.5" customHeight="1">
      <x:c r="A15" s="16" t="str">
        <x:v>CLAIM-012</x:v>
      </x:c>
      <x:c r="B15" s="16" t="str">
        <x:v>CASE-04</x:v>
      </x:c>
      <x:c r="C15" s="13" t="str"/>
      <x:c r="D15" s="13" t="str"/>
      <x:c r="E15" s="13" t="str"/>
      <x:c r="F15" s="13" t="str"/>
      <x:c r="G15" s="23" t="str">
        <x:f>IF(E15="","",--(LEN(E15)&gt;0))</x:f>
      </x:c>
      <x:c r="H15" s="13"/>
      <x:c r="I15" s="13"/>
      <x:c r="J15" s="13" t="str"/>
      <x:c r="K15" s="13" t="str"/>
      <x:c r="L15" s="13" t="str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6.5" customHeight="1">
      <x:c r="A16" s="16" t="str">
        <x:v>CLAIM-013</x:v>
      </x:c>
      <x:c r="B16" s="16" t="str">
        <x:v>CASE-05</x:v>
      </x:c>
      <x:c r="C16" s="13" t="str"/>
      <x:c r="D16" s="13" t="str"/>
      <x:c r="E16" s="13" t="str"/>
      <x:c r="F16" s="13" t="str"/>
      <x:c r="G16" s="23" t="str">
        <x:f>IF(E16="","",--(LEN(E16)&gt;0))</x:f>
      </x:c>
      <x:c r="H16" s="13"/>
      <x:c r="I16" s="13"/>
      <x:c r="J16" s="13" t="str"/>
      <x:c r="K16" s="13" t="str"/>
      <x:c r="L16" s="13" t="str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6.5" customHeight="1">
      <x:c r="A17" s="16" t="str">
        <x:v>CLAIM-014</x:v>
      </x:c>
      <x:c r="B17" s="16" t="str">
        <x:v>CASE-05</x:v>
      </x:c>
      <x:c r="C17" s="13" t="str"/>
      <x:c r="D17" s="13" t="str"/>
      <x:c r="E17" s="13" t="str"/>
      <x:c r="F17" s="13" t="str"/>
      <x:c r="G17" s="23" t="str">
        <x:f>IF(E17="","",--(LEN(E17)&gt;0))</x:f>
      </x:c>
      <x:c r="H17" s="13"/>
      <x:c r="I17" s="13"/>
      <x:c r="J17" s="13" t="str"/>
      <x:c r="K17" s="13" t="str"/>
      <x:c r="L17" s="13" t="str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6.5" customHeight="1">
      <x:c r="A18" s="16" t="str">
        <x:v>CLAIM-015</x:v>
      </x:c>
      <x:c r="B18" s="16" t="str">
        <x:v>CASE-05</x:v>
      </x:c>
      <x:c r="C18" s="13" t="str"/>
      <x:c r="D18" s="13" t="str"/>
      <x:c r="E18" s="13" t="str"/>
      <x:c r="F18" s="13" t="str"/>
      <x:c r="G18" s="23" t="str">
        <x:f>IF(E18="","",--(LEN(E18)&gt;0))</x:f>
      </x:c>
      <x:c r="H18" s="13"/>
      <x:c r="I18" s="13"/>
      <x:c r="J18" s="13" t="str"/>
      <x:c r="K18" s="13" t="str"/>
      <x:c r="L18" s="13" t="str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6.5" customHeight="1">
      <x:c r="A19" s="16" t="str">
        <x:v>CLAIM-016</x:v>
      </x:c>
      <x:c r="B19" s="16" t="str">
        <x:v>CASE-06</x:v>
      </x:c>
      <x:c r="C19" s="13" t="str"/>
      <x:c r="D19" s="13" t="str"/>
      <x:c r="E19" s="13" t="str"/>
      <x:c r="F19" s="13" t="str"/>
      <x:c r="G19" s="23" t="str">
        <x:f>IF(E19="","",--(LEN(E19)&gt;0))</x:f>
      </x:c>
      <x:c r="H19" s="13"/>
      <x:c r="I19" s="13"/>
      <x:c r="J19" s="13" t="str"/>
      <x:c r="K19" s="13" t="str"/>
      <x:c r="L19" s="13" t="str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6.5" customHeight="1">
      <x:c r="A20" s="16" t="str">
        <x:v>CLAIM-017</x:v>
      </x:c>
      <x:c r="B20" s="16" t="str">
        <x:v>CASE-06</x:v>
      </x:c>
      <x:c r="C20" s="13" t="str"/>
      <x:c r="D20" s="13" t="str"/>
      <x:c r="E20" s="13" t="str"/>
      <x:c r="F20" s="13" t="str"/>
      <x:c r="G20" s="23" t="str">
        <x:f>IF(E20="","",--(LEN(E20)&gt;0))</x:f>
      </x:c>
      <x:c r="H20" s="13"/>
      <x:c r="I20" s="13"/>
      <x:c r="J20" s="13" t="str"/>
      <x:c r="K20" s="13" t="str"/>
      <x:c r="L20" s="13" t="str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6.5" customHeight="1">
      <x:c r="A21" s="16" t="str">
        <x:v>CLAIM-018</x:v>
      </x:c>
      <x:c r="B21" s="16" t="str">
        <x:v>CASE-06</x:v>
      </x:c>
      <x:c r="C21" s="13" t="str"/>
      <x:c r="D21" s="13" t="str"/>
      <x:c r="E21" s="13" t="str"/>
      <x:c r="F21" s="13" t="str"/>
      <x:c r="G21" s="23" t="str">
        <x:f>IF(E21="","",--(LEN(E21)&gt;0))</x:f>
      </x:c>
      <x:c r="H21" s="13"/>
      <x:c r="I21" s="13"/>
      <x:c r="J21" s="13" t="str"/>
      <x:c r="K21" s="13" t="str"/>
      <x:c r="L21" s="13" t="str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6.5" customHeight="1">
      <x:c r="A22" s="16" t="str">
        <x:v>CLAIM-019</x:v>
      </x:c>
      <x:c r="B22" s="16" t="str">
        <x:v>CASE-07</x:v>
      </x:c>
      <x:c r="C22" s="13" t="str"/>
      <x:c r="D22" s="13" t="str"/>
      <x:c r="E22" s="13" t="str"/>
      <x:c r="F22" s="13" t="str"/>
      <x:c r="G22" s="23" t="str">
        <x:f>IF(E22="","",--(LEN(E22)&gt;0))</x:f>
      </x:c>
      <x:c r="H22" s="13"/>
      <x:c r="I22" s="13"/>
      <x:c r="J22" s="13" t="str"/>
      <x:c r="K22" s="13" t="str"/>
      <x:c r="L22" s="13" t="str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6.5" customHeight="1">
      <x:c r="A23" s="16" t="str">
        <x:v>CLAIM-020</x:v>
      </x:c>
      <x:c r="B23" s="16" t="str">
        <x:v>CASE-07</x:v>
      </x:c>
      <x:c r="C23" s="13" t="str"/>
      <x:c r="D23" s="13" t="str"/>
      <x:c r="E23" s="13" t="str"/>
      <x:c r="F23" s="13" t="str"/>
      <x:c r="G23" s="23" t="str">
        <x:f>IF(E23="","",--(LEN(E23)&gt;0))</x:f>
      </x:c>
      <x:c r="H23" s="13"/>
      <x:c r="I23" s="13"/>
      <x:c r="J23" s="13" t="str"/>
      <x:c r="K23" s="13" t="str"/>
      <x:c r="L23" s="13" t="str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6.5" customHeight="1">
      <x:c r="A24" s="16" t="str">
        <x:v>CLAIM-021</x:v>
      </x:c>
      <x:c r="B24" s="16" t="str">
        <x:v>CASE-07</x:v>
      </x:c>
      <x:c r="C24" s="13" t="str"/>
      <x:c r="D24" s="13" t="str"/>
      <x:c r="E24" s="13" t="str"/>
      <x:c r="F24" s="13" t="str"/>
      <x:c r="G24" s="23" t="str">
        <x:f>IF(E24="","",--(LEN(E24)&gt;0))</x:f>
      </x:c>
      <x:c r="H24" s="13"/>
      <x:c r="I24" s="13"/>
      <x:c r="J24" s="13" t="str"/>
      <x:c r="K24" s="13" t="str"/>
      <x:c r="L24" s="13" t="str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6.5" customHeight="1">
      <x:c r="A25" s="16" t="str">
        <x:v>CLAIM-022</x:v>
      </x:c>
      <x:c r="B25" s="16" t="str">
        <x:v>CASE-08</x:v>
      </x:c>
      <x:c r="C25" s="13" t="str"/>
      <x:c r="D25" s="13" t="str"/>
      <x:c r="E25" s="13" t="str"/>
      <x:c r="F25" s="13" t="str"/>
      <x:c r="G25" s="23" t="str">
        <x:f>IF(E25="","",--(LEN(E25)&gt;0))</x:f>
      </x:c>
      <x:c r="H25" s="13"/>
      <x:c r="I25" s="13"/>
      <x:c r="J25" s="13" t="str"/>
      <x:c r="K25" s="13" t="str"/>
      <x:c r="L25" s="13" t="str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6.5" customHeight="1">
      <x:c r="A26" s="16" t="str">
        <x:v>CLAIM-023</x:v>
      </x:c>
      <x:c r="B26" s="16" t="str">
        <x:v>CASE-08</x:v>
      </x:c>
      <x:c r="C26" s="13" t="str"/>
      <x:c r="D26" s="13" t="str"/>
      <x:c r="E26" s="13" t="str"/>
      <x:c r="F26" s="13" t="str"/>
      <x:c r="G26" s="23" t="str">
        <x:f>IF(E26="","",--(LEN(E26)&gt;0))</x:f>
      </x:c>
      <x:c r="H26" s="13"/>
      <x:c r="I26" s="13"/>
      <x:c r="J26" s="13" t="str"/>
      <x:c r="K26" s="13" t="str"/>
      <x:c r="L26" s="13" t="str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6.5" customHeight="1">
      <x:c r="A27" s="16" t="str">
        <x:v>CLAIM-024</x:v>
      </x:c>
      <x:c r="B27" s="16" t="str">
        <x:v>CASE-08</x:v>
      </x:c>
      <x:c r="C27" s="13" t="str"/>
      <x:c r="D27" s="13" t="str"/>
      <x:c r="E27" s="13" t="str"/>
      <x:c r="F27" s="13" t="str"/>
      <x:c r="G27" s="23" t="str">
        <x:f>IF(E27="","",--(LEN(E27)&gt;0))</x:f>
      </x:c>
      <x:c r="H27" s="13"/>
      <x:c r="I27" s="13"/>
      <x:c r="J27" s="13" t="str"/>
      <x:c r="K27" s="13" t="str"/>
      <x:c r="L27" s="13" t="str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6.5" customHeight="1">
      <x:c r="A28" s="16" t="str">
        <x:v>CLAIM-025</x:v>
      </x:c>
      <x:c r="B28" s="16" t="str">
        <x:v>CASE-09</x:v>
      </x:c>
      <x:c r="C28" s="13" t="str"/>
      <x:c r="D28" s="13" t="str"/>
      <x:c r="E28" s="13" t="str"/>
      <x:c r="F28" s="13" t="str"/>
      <x:c r="G28" s="23" t="str">
        <x:f>IF(E28="","",--(LEN(E28)&gt;0))</x:f>
      </x:c>
      <x:c r="H28" s="13"/>
      <x:c r="I28" s="13"/>
      <x:c r="J28" s="13" t="str"/>
      <x:c r="K28" s="13" t="str"/>
      <x:c r="L28" s="13" t="str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6.5" customHeight="1">
      <x:c r="A29" s="16" t="str">
        <x:v>CLAIM-026</x:v>
      </x:c>
      <x:c r="B29" s="16" t="str">
        <x:v>CASE-09</x:v>
      </x:c>
      <x:c r="C29" s="13" t="str"/>
      <x:c r="D29" s="13" t="str"/>
      <x:c r="E29" s="13" t="str"/>
      <x:c r="F29" s="13" t="str"/>
      <x:c r="G29" s="23" t="str">
        <x:f>IF(E29="","",--(LEN(E29)&gt;0))</x:f>
      </x:c>
      <x:c r="H29" s="13"/>
      <x:c r="I29" s="13"/>
      <x:c r="J29" s="13" t="str"/>
      <x:c r="K29" s="13" t="str"/>
      <x:c r="L29" s="13" t="str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6.5" customHeight="1">
      <x:c r="A30" s="16" t="str">
        <x:v>CLAIM-027</x:v>
      </x:c>
      <x:c r="B30" s="16" t="str">
        <x:v>CASE-09</x:v>
      </x:c>
      <x:c r="C30" s="13" t="str"/>
      <x:c r="D30" s="13" t="str"/>
      <x:c r="E30" s="13" t="str"/>
      <x:c r="F30" s="13" t="str"/>
      <x:c r="G30" s="23" t="str">
        <x:f>IF(E30="","",--(LEN(E30)&gt;0))</x:f>
      </x:c>
      <x:c r="H30" s="13"/>
      <x:c r="I30" s="13"/>
      <x:c r="J30" s="13" t="str"/>
      <x:c r="K30" s="13" t="str"/>
      <x:c r="L30" s="13" t="str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6.5" customHeight="1">
      <x:c r="A31" s="16" t="str">
        <x:v>CLAIM-028</x:v>
      </x:c>
      <x:c r="B31" s="16" t="str">
        <x:v>CASE-10</x:v>
      </x:c>
      <x:c r="C31" s="13" t="str"/>
      <x:c r="D31" s="13" t="str"/>
      <x:c r="E31" s="13" t="str"/>
      <x:c r="F31" s="13" t="str"/>
      <x:c r="G31" s="23" t="str">
        <x:f>IF(E31="","",--(LEN(E31)&gt;0))</x:f>
      </x:c>
      <x:c r="H31" s="13"/>
      <x:c r="I31" s="13"/>
      <x:c r="J31" s="13" t="str"/>
      <x:c r="K31" s="13" t="str"/>
      <x:c r="L31" s="13" t="str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6.5" customHeight="1">
      <x:c r="A32" s="16" t="str">
        <x:v>CLAIM-029</x:v>
      </x:c>
      <x:c r="B32" s="16" t="str">
        <x:v>CASE-10</x:v>
      </x:c>
      <x:c r="C32" s="13" t="str"/>
      <x:c r="D32" s="13" t="str"/>
      <x:c r="E32" s="13" t="str"/>
      <x:c r="F32" s="13" t="str"/>
      <x:c r="G32" s="23" t="str">
        <x:f>IF(E32="","",--(LEN(E32)&gt;0))</x:f>
      </x:c>
      <x:c r="H32" s="13"/>
      <x:c r="I32" s="13"/>
      <x:c r="J32" s="13" t="str"/>
      <x:c r="K32" s="13" t="str"/>
      <x:c r="L32" s="13" t="str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6.5" customHeight="1">
      <x:c r="A33" s="16" t="str">
        <x:v>CLAIM-030</x:v>
      </x:c>
      <x:c r="B33" s="16" t="str">
        <x:v>CASE-10</x:v>
      </x:c>
      <x:c r="C33" s="13" t="str"/>
      <x:c r="D33" s="13" t="str"/>
      <x:c r="E33" s="13" t="str"/>
      <x:c r="F33" s="13" t="str"/>
      <x:c r="G33" s="23" t="str">
        <x:f>IF(E33="","",--(LEN(E33)&gt;0))</x:f>
      </x:c>
      <x:c r="H33" s="13"/>
      <x:c r="I33" s="13"/>
      <x:c r="J33" s="13" t="str"/>
      <x:c r="K33" s="13" t="str"/>
      <x:c r="L33" s="13" t="str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L1"/>
    <x:mergeCell ref="A2:L2"/>
  </x:mergeCells>
  <x:conditionalFormatting sqref="H4:H33">
    <x:cfRule type="cellIs" dxfId="16" priority="1">
      <x:formula>1</x:formula>
    </x:cfRule>
    <x:cfRule type="cellIs" dxfId="17" priority="2">
      <x:formula>0</x:formula>
    </x:cfRule>
  </x:conditionalFormatting>
  <x:conditionalFormatting sqref="I4:I33">
    <x:cfRule type="cellIs" dxfId="18" priority="3" operator="greaterThan">
      <x:formula>0</x:formula>
    </x:cfRule>
  </x:conditionalFormatting>
  <x:conditionalFormatting sqref="J4:J33">
    <x:cfRule type="expression" dxfId="19" priority="4">
      <x:formula>J4="Accepted"</x:formula>
    </x:cfRule>
    <x:cfRule type="expression" dxfId="20" priority="5">
      <x:formula>J4="Rejected"</x:formula>
    </x:cfRule>
  </x:conditionalFormatting>
  <x:dataValidations count="3">
    <x:dataValidation type="list" allowBlank="1" showDropDown="0" sqref="H4:H33">
      <x:formula1>"0,1"</x:formula1>
    </x:dataValidation>
    <x:dataValidation type="whole" operator="between" sqref="I4:I33">
      <x:formula1>0</x:formula1>
      <x:formula2>20</x:formula2>
    </x:dataValidation>
    <x:dataValidation type="list" allowBlank="1" showDropDown="0" sqref="J4:J33">
      <x:formula1>"Accepted,Modified,Rejected"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15" hidden="0" customWidth="1"/>
    <x:col min="4" max="4" width="15.630000114440918" hidden="0" customWidth="1"/>
    <x:col min="5" max="5" width="15.630000114440918" hidden="0" customWidth="1"/>
    <x:col min="6" max="6" width="13.75" hidden="0" customWidth="1"/>
    <x:col min="7" max="7" width="14.380000114440918" hidden="0" customWidth="1"/>
    <x:col min="8" max="8" width="15.630000114440918" hidden="0" customWidth="1"/>
    <x:col min="9" max="9" width="13.75" hidden="0" customWidth="1"/>
    <x:col min="10" max="10" width="41.25" hidden="0" customWidth="1"/>
  </x:cols>
  <x:sheetData>
    <x:row r="1" ht="31.5" customHeight="1">
      <x:c r="A1" s="5" t="str">
        <x:v>5人用户任务测试</x:v>
      </x:c>
      <x:c r="B1" s="5" t="str">
        <x:v>5人用户任务测试</x:v>
      </x:c>
      <x:c r="C1" s="5" t="str">
        <x:v>5人用户任务测试</x:v>
      </x:c>
      <x:c r="D1" s="5" t="str">
        <x:v>5人用户任务测试</x:v>
      </x:c>
      <x:c r="E1" s="5" t="str">
        <x:v>5人用户任务测试</x:v>
      </x:c>
      <x:c r="F1" s="5" t="str">
        <x:v>5人用户任务测试</x:v>
      </x:c>
      <x:c r="G1" s="5" t="str">
        <x:v>5人用户任务测试</x:v>
      </x:c>
      <x:c r="H1" s="5" t="str">
        <x:v>5人用户任务测试</x:v>
      </x:c>
      <x:c r="I1" s="5" t="str">
        <x:v>5人用户任务测试</x:v>
      </x:c>
      <x:c r="J1" s="5" t="str">
        <x:v>5人用户任务测试</x:v>
      </x:c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8" t="str">
        <x:v>先完成现状基线，再完成新版任务。只录入真实观察；任务完成、时间、接受数与信任度用于仪表盘公式。 </x:v>
      </x:c>
      <x:c r="B2" s="8" t="str">
        <x:v>先完成现状基线，再完成新版任务。只录入真实观察；任务完成、时间、接受数与信任度用于仪表盘公式。 </x:v>
      </x:c>
      <x:c r="C2" s="8" t="str">
        <x:v>先完成现状基线，再完成新版任务。只录入真实观察；任务完成、时间、接受数与信任度用于仪表盘公式。 </x:v>
      </x:c>
      <x:c r="D2" s="8" t="str">
        <x:v>先完成现状基线，再完成新版任务。只录入真实观察；任务完成、时间、接受数与信任度用于仪表盘公式。 </x:v>
      </x:c>
      <x:c r="E2" s="8" t="str">
        <x:v>先完成现状基线，再完成新版任务。只录入真实观察；任务完成、时间、接受数与信任度用于仪表盘公式。 </x:v>
      </x:c>
      <x:c r="F2" s="8" t="str">
        <x:v>先完成现状基线，再完成新版任务。只录入真实观察；任务完成、时间、接受数与信任度用于仪表盘公式。 </x:v>
      </x:c>
      <x:c r="G2" s="8" t="str">
        <x:v>先完成现状基线，再完成新版任务。只录入真实观察；任务完成、时间、接受数与信任度用于仪表盘公式。 </x:v>
      </x:c>
      <x:c r="H2" s="8" t="str">
        <x:v>先完成现状基线，再完成新版任务。只录入真实观察；任务完成、时间、接受数与信任度用于仪表盘公式。 </x:v>
      </x:c>
      <x:c r="I2" s="8" t="str">
        <x:v>先完成现状基线，再完成新版任务。只录入真实观察；任务完成、时间、接受数与信任度用于仪表盘公式。 </x:v>
      </x:c>
      <x:c r="J2" s="8" t="str">
        <x:v>先完成现状基线，再完成新版任务。只录入真实观察；任务完成、时间、接受数与信任度用于仪表盘公式。 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.5" customHeight="1">
      <x:c r="A3" s="21" t="str">
        <x:v>用户ID</x:v>
      </x:c>
      <x:c r="B3" s="21" t="str">
        <x:v>方向/背景</x:v>
      </x:c>
      <x:c r="C3" s="21" t="str">
        <x:v>任务完成(0/1)</x:v>
      </x:c>
      <x:c r="D3" s="21" t="str">
        <x:v>基线时间(分钟)</x:v>
      </x:c>
      <x:c r="E3" s="21" t="str">
        <x:v>新流程时间(分钟)</x:v>
      </x:c>
      <x:c r="F3" s="21" t="str">
        <x:v>信任度(1-5)</x:v>
      </x:c>
      <x:c r="G3" s="21" t="str">
        <x:v>接受claim数</x:v>
      </x:c>
      <x:c r="H3" s="21" t="str">
        <x:v>已决策claim数</x:v>
      </x:c>
      <x:c r="I3" s="21" t="str">
        <x:v>接受率(公式)</x:v>
      </x:c>
      <x:c r="J3" s="21" t="str">
        <x:v>错误点/修复记录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54" customHeight="1">
      <x:c r="A4" s="16" t="str">
        <x:v>U01</x:v>
      </x:c>
      <x:c r="B4" s="13" t="str"/>
      <x:c r="C4" s="13"/>
      <x:c r="D4" s="13"/>
      <x:c r="E4" s="13"/>
      <x:c r="F4" s="13"/>
      <x:c r="G4" s="13"/>
      <x:c r="H4" s="13"/>
      <x:c r="I4" s="22" t="str">
        <x:f>IF(OR(G4="",H4="",H4=0),"",G4/H4)</x:f>
      </x:c>
      <x:c r="J4" s="13" t="str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54" customHeight="1">
      <x:c r="A5" s="16" t="str">
        <x:v>U02</x:v>
      </x:c>
      <x:c r="B5" s="13" t="str"/>
      <x:c r="C5" s="13"/>
      <x:c r="D5" s="13"/>
      <x:c r="E5" s="13"/>
      <x:c r="F5" s="13"/>
      <x:c r="G5" s="13"/>
      <x:c r="H5" s="13"/>
      <x:c r="I5" s="22" t="str">
        <x:f>IF(OR(G5="",H5="",H5=0),"",G5/H5)</x:f>
      </x:c>
      <x:c r="J5" s="13" t="str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4" customHeight="1">
      <x:c r="A6" s="16" t="str">
        <x:v>U03</x:v>
      </x:c>
      <x:c r="B6" s="13" t="str"/>
      <x:c r="C6" s="13"/>
      <x:c r="D6" s="13"/>
      <x:c r="E6" s="13"/>
      <x:c r="F6" s="13"/>
      <x:c r="G6" s="13"/>
      <x:c r="H6" s="13"/>
      <x:c r="I6" s="22" t="str">
        <x:f>IF(OR(G6="",H6="",H6=0),"",G6/H6)</x:f>
      </x:c>
      <x:c r="J6" s="13" t="str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4" customHeight="1">
      <x:c r="A7" s="16" t="str">
        <x:v>U04</x:v>
      </x:c>
      <x:c r="B7" s="13" t="str"/>
      <x:c r="C7" s="13"/>
      <x:c r="D7" s="13"/>
      <x:c r="E7" s="13"/>
      <x:c r="F7" s="13"/>
      <x:c r="G7" s="13"/>
      <x:c r="H7" s="13"/>
      <x:c r="I7" s="22" t="str">
        <x:f>IF(OR(G7="",H7="",H7=0),"",G7/H7)</x:f>
      </x:c>
      <x:c r="J7" s="13" t="str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4" customHeight="1">
      <x:c r="A8" s="16" t="str">
        <x:v>U05</x:v>
      </x:c>
      <x:c r="B8" s="13" t="str"/>
      <x:c r="C8" s="13"/>
      <x:c r="D8" s="13"/>
      <x:c r="E8" s="13"/>
      <x:c r="F8" s="13"/>
      <x:c r="G8" s="13"/>
      <x:c r="H8" s="13"/>
      <x:c r="I8" s="22" t="str">
        <x:f>IF(OR(G8="",H8="",H8=0),"",G8/H8)</x:f>
      </x:c>
      <x:c r="J8" s="13" t="str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8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J1"/>
    <x:mergeCell ref="A2:J2"/>
  </x:mergeCells>
  <x:conditionalFormatting sqref="C4:C8">
    <x:cfRule type="cellIs" dxfId="21" priority="1">
      <x:formula>1</x:formula>
    </x:cfRule>
    <x:cfRule type="cellIs" dxfId="22" priority="2">
      <x:formula>0</x:formula>
    </x:cfRule>
  </x:conditionalFormatting>
  <x:conditionalFormatting sqref="F4:F8">
    <x:cfRule type="cellIs" dxfId="23" priority="3">
      <x:formula>4</x:formula>
    </x:cfRule>
  </x:conditionalFormatting>
  <x:dataValidations count="4">
    <x:dataValidation type="list" allowBlank="1" showDropDown="0" sqref="C4:C8">
      <x:formula1>"0,1"</x:formula1>
    </x:dataValidation>
    <x:dataValidation type="decimal" operator="between" sqref="D4:E8">
      <x:formula1>0</x:formula1>
      <x:formula2>600</x:formula2>
    </x:dataValidation>
    <x:dataValidation type="whole" operator="between" sqref="F4:F8">
      <x:formula1>1</x:formula1>
      <x:formula2>5</x:formula2>
    </x:dataValidation>
    <x:dataValidation type="whole" operator="between" sqref="G4:H8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5.630000114440918" hidden="0" customWidth="1"/>
    <x:col min="3" max="3" width="42.5" hidden="0" customWidth="1"/>
    <x:col min="4" max="4" width="13.130000114440918" hidden="0" customWidth="1"/>
    <x:col min="5" max="5" width="13.130000114440918" hidden="0" customWidth="1"/>
    <x:col min="6" max="6" width="41.25" hidden="0" customWidth="1"/>
  </x:cols>
  <x:sheetData>
    <x:row r="1" ht="31.5" customHeight="1">
      <x:c r="A1" s="5" t="str">
        <x:v>当前工程验证记录</x:v>
      </x:c>
      <x:c r="B1" s="5" t="str">
        <x:v>当前工程验证记录</x:v>
      </x:c>
      <x:c r="C1" s="5" t="str">
        <x:v>当前工程验证记录</x:v>
      </x:c>
      <x:c r="D1" s="5" t="str">
        <x:v>当前工程验证记录</x:v>
      </x:c>
      <x:c r="E1" s="5" t="str">
        <x:v>当前工程验证记录</x:v>
      </x:c>
      <x:c r="F1" s="5" t="str">
        <x:v>当前工程验证记录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0" customHeight="1">
      <x:c r="A2" s="8" t="str">
        <x:v>这些结果证明规则和构建状态，不代表AI质量或用户价值已经达标；AI质量与用户价值仍需真实评测。 </x:v>
      </x:c>
      <x:c r="B2" s="8" t="str">
        <x:v>这些结果证明规则和构建状态，不代表AI质量或用户价值已经达标；AI质量与用户价值仍需真实评测。 </x:v>
      </x:c>
      <x:c r="C2" s="8" t="str">
        <x:v>这些结果证明规则和构建状态，不代表AI质量或用户价值已经达标；AI质量与用户价值仍需真实评测。 </x:v>
      </x:c>
      <x:c r="D2" s="8" t="str">
        <x:v>这些结果证明规则和构建状态，不代表AI质量或用户价值已经达标；AI质量与用户价值仍需真实评测。 </x:v>
      </x:c>
      <x:c r="E2" s="8" t="str">
        <x:v>这些结果证明规则和构建状态，不代表AI质量或用户价值已经达标；AI质量与用户价值仍需真实评测。 </x:v>
      </x:c>
      <x:c r="F2" s="8" t="str">
        <x:v>这些结果证明规则和构建状态，不代表AI质量或用户价值已经达标；AI质量与用户价值仍需真实评测。 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.5" customHeight="1">
      <x:c r="A3" s="21" t="str">
        <x:v>日期</x:v>
      </x:c>
      <x:c r="B3" s="21" t="str">
        <x:v>层级</x:v>
      </x:c>
      <x:c r="C3" s="21" t="str">
        <x:v>命令/范围</x:v>
      </x:c>
      <x:c r="D3" s="21" t="str">
        <x:v>结果</x:v>
      </x:c>
      <x:c r="E3" s="21" t="str">
        <x:v>状态</x:v>
      </x:c>
      <x:c r="F3" s="21" t="str">
        <x:v>能证明什么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40.5" customHeight="1">
      <x:c r="A4" s="29" t="str">
        <x:v>2026-08-17</x:v>
      </x:c>
      <x:c r="B4" s="13" t="str">
        <x:v>Backend full</x:v>
      </x:c>
      <x:c r="C4" s="13" t="str">
        <x:v>pytest -q</x:v>
      </x:c>
      <x:c r="D4" s="13" t="str">
        <x:v>103 passed</x:v>
      </x:c>
      <x:c r="E4" s="13" t="str">
        <x:v>Pass</x:v>
      </x:c>
      <x:c r="F4" s="13" t="str">
        <x:v>可信资料库与既有后端流程全量回归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0.5" customHeight="1">
      <x:c r="A5" s="29" t="str">
        <x:v>2026-08-17</x:v>
      </x:c>
      <x:c r="B5" s="13" t="str">
        <x:v>Frontend full</x:v>
      </x:c>
      <x:c r="C5" s="13" t="str">
        <x:v>npm test -- --run</x:v>
      </x:c>
      <x:c r="D5" s="13" t="str">
        <x:v>44 passed</x:v>
      </x:c>
      <x:c r="E5" s="13" t="str">
        <x:v>Pass</x:v>
      </x:c>
      <x:c r="F5" s="13" t="str">
        <x:v>API客户端与工作台组件全量回归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0.5" customHeight="1">
      <x:c r="A6" s="29" t="str">
        <x:v>2026-08-17</x:v>
      </x:c>
      <x:c r="B6" s="13" t="str">
        <x:v>Static</x:v>
      </x:c>
      <x:c r="C6" s="13" t="str">
        <x:v>npm run lint</x:v>
      </x:c>
      <x:c r="D6" s="13" t="str">
        <x:v>Passed</x:v>
      </x:c>
      <x:c r="E6" s="13" t="str">
        <x:v>Pass</x:v>
      </x:c>
      <x:c r="F6" s="13" t="str">
        <x:v>TypeScript/ESLint静态检查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0.5" customHeight="1">
      <x:c r="A7" s="29" t="str">
        <x:v>2026-08-17</x:v>
      </x:c>
      <x:c r="B7" s="13" t="str">
        <x:v>Build</x:v>
      </x:c>
      <x:c r="C7" s="13" t="str">
        <x:v>npm run build</x:v>
      </x:c>
      <x:c r="D7" s="13" t="str">
        <x:v>Passed</x:v>
      </x:c>
      <x:c r="E7" s="13" t="str">
        <x:v>Pass</x:v>
      </x:c>
      <x:c r="F7" s="13" t="str">
        <x:v>前端生产构建可生成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0.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0.5" customHeight="1">
      <x:c r="A9" s="10" t="str">
        <x:v>交付冒烟与补丁检查</x:v>
      </x:c>
      <x:c r="B9" s="10" t="str">
        <x:v>交付冒烟与补丁检查</x:v>
      </x:c>
      <x:c r="C9" s="10" t="str">
        <x:v>交付冒烟与补丁检查</x:v>
      </x:c>
      <x:c r="D9" s="10" t="str">
        <x:v>交付冒烟与补丁检查</x:v>
      </x:c>
      <x:c r="E9" s="10" t="str">
        <x:v>交付冒烟与补丁检查</x:v>
      </x:c>
      <x:c r="F9" s="10" t="str">
        <x:v>交付冒烟与补丁检查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0.5" customHeight="1">
      <x:c r="A10" s="13" t="str">
        <x:v>2026-08-17</x:v>
      </x:c>
      <x:c r="B10" s="13" t="str">
        <x:v>HTTP health</x:v>
      </x:c>
      <x:c r="C10" s="13" t="str">
        <x:v>GET /api/health</x:v>
      </x:c>
      <x:c r="D10" s="13" t="str">
        <x:v>ok</x:v>
      </x:c>
      <x:c r="E10" s="13" t="str">
        <x:v>Pass</x:v>
      </x:c>
      <x:c r="F10" s="13" t="str">
        <x:v>本地FastAPI服务可达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0.5" customHeight="1">
      <x:c r="A11" s="13" t="str">
        <x:v>2026-08-17</x:v>
      </x:c>
      <x:c r="B11" s="13" t="str">
        <x:v>OpenAPI</x:v>
      </x:c>
      <x:c r="C11" s="13" t="str">
        <x:v>GET /openapi.json</x:v>
      </x:c>
      <x:c r="D11" s="13" t="str">
        <x:v>55 paths</x:v>
      </x:c>
      <x:c r="E11" s="13" t="str">
        <x:v>Pass</x:v>
      </x:c>
      <x:c r="F11" s="13" t="str">
        <x:v>可信资料库核心接口已注册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0.5" customHeight="1">
      <x:c r="A12" s="13" t="str">
        <x:v>2026-08-17</x:v>
      </x:c>
      <x:c r="B12" s="13" t="str">
        <x:v>Route smoke</x:v>
      </x:c>
      <x:c r="C12" s="13" t="str">
        <x:v>sources/tailor/claims/finalize</x:v>
      </x:c>
      <x:c r="D12" s="13" t="str">
        <x:v>All present</x:v>
      </x:c>
      <x:c r="E12" s="13" t="str">
        <x:v>Pass</x:v>
      </x:c>
      <x:c r="F12" s="13" t="str">
        <x:v>核心可信生成路由可发现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0.5" customHeight="1">
      <x:c r="A13" s="13" t="str">
        <x:v>2026-08-17</x:v>
      </x:c>
      <x:c r="B13" s="13" t="str">
        <x:v>Diff</x:v>
      </x:c>
      <x:c r="C13" s="13" t="str">
        <x:v>git diff --check</x:v>
      </x:c>
      <x:c r="D13" s="13" t="str">
        <x:v>Passed</x:v>
      </x:c>
      <x:c r="E13" s="13" t="str">
        <x:v>Pass</x:v>
      </x:c>
      <x:c r="F13" s="13" t="str">
        <x:v>补丁无空白错误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1:F1"/>
    <x:mergeCell ref="A2:F2"/>
    <x:mergeCell ref="A9:F9"/>
  </x:mergeCells>
  <x:conditionalFormatting sqref="E4:E7">
    <x:cfRule type="expression" dxfId="24" priority="1">
      <x:formula>E4="Pass"</x:formula>
    </x:cfRule>
    <x:cfRule type="expression" dxfId="25" priority="2">
      <x:formula>E4="Completed"</x:formula>
    </x:cfRule>
    <x:cfRule type="expression" dxfId="26" priority="3">
      <x:formula>E4="Fail"</x:formula>
    </x:cfRule>
    <x:cfRule type="expression" dxfId="27" priority="4">
      <x:formula>OR(E4="Not Started",E4="待录入")</x:formula>
    </x:cfRule>
  </x:conditionalFormatting>
  <x:conditionalFormatting sqref="E10:E13">
    <x:cfRule type="expression" dxfId="28" priority="5">
      <x:formula>E10="Pass"</x:formula>
    </x:cfRule>
    <x:cfRule type="expression" dxfId="29" priority="6">
      <x:formula>E10="Completed"</x:formula>
    </x:cfRule>
    <x:cfRule type="expression" dxfId="30" priority="7">
      <x:formula>E10="Fail"</x:formula>
    </x:cfRule>
    <x:cfRule type="expression" dxfId="31" priority="8">
      <x:formula>OR(E10="Not Started",E10="待录入")</x:formula>
    </x:cfRule>
  </x:conditionalFormatting>
  <x:pageMargins left="0.7" right="0.7" top="0.75" bottom="0.75" header="0.3" footer="0.3"/>
</x:worksheet>
</file>